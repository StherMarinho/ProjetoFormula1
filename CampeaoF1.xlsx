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AF7F0917-45CD-4517-88A6-6B00553EB34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ontuação" sheetId="1" r:id="rId1"/>
    <sheet name="PontuaçãoSprint" sheetId="3" r:id="rId2"/>
    <sheet name="Temporada2025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 a="1"/>
  <c r="AF3" i="2"/>
  <c r="AF4" i="2" a="1"/>
  <c r="AF4" i="2"/>
  <c r="AF5" i="2" a="1"/>
  <c r="AF5" i="2"/>
  <c r="AF6" i="2" a="1"/>
  <c r="AF6" i="2"/>
  <c r="AF7" i="2" a="1"/>
  <c r="AF7" i="2"/>
  <c r="AF8" i="2" a="1"/>
  <c r="AF8" i="2"/>
  <c r="AF9" i="2" a="1"/>
  <c r="AF9" i="2"/>
  <c r="AF10" i="2" a="1"/>
  <c r="AF10" i="2"/>
  <c r="AF11" i="2" a="1"/>
  <c r="AF11" i="2"/>
  <c r="AF12" i="2" a="1"/>
  <c r="AF12" i="2"/>
  <c r="AF13" i="2" a="1"/>
  <c r="AF13" i="2"/>
  <c r="AF14" i="2" a="1"/>
  <c r="AF14" i="2"/>
  <c r="AF15" i="2" a="1"/>
  <c r="AF15" i="2"/>
  <c r="AF16" i="2" a="1"/>
  <c r="AF16" i="2"/>
  <c r="AF17" i="2" a="1"/>
  <c r="AF17" i="2"/>
  <c r="AF18" i="2" a="1"/>
  <c r="AF18" i="2"/>
  <c r="AF19" i="2" a="1"/>
  <c r="AF19" i="2"/>
  <c r="AF20" i="2" a="1"/>
  <c r="AF20" i="2"/>
  <c r="AF21" i="2" a="1"/>
  <c r="AF21" i="2"/>
  <c r="AF2" i="2" a="1"/>
  <c r="A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<sst xmlns="http://schemas.openxmlformats.org/spreadsheetml/2006/main" count="56" uniqueCount="54">
  <si>
    <t>Posição</t>
  </si>
  <si>
    <t>Pontos</t>
  </si>
  <si>
    <t>Piloto</t>
  </si>
  <si>
    <t>GP da Austrália (Melbourne)</t>
  </si>
  <si>
    <t>GP da China (Xangai)</t>
  </si>
  <si>
    <t>GP do Japão (Suzuka)</t>
  </si>
  <si>
    <t>GP do Bahrein (Sakhir)</t>
  </si>
  <si>
    <t>GP da Arábia Saudita (Jeddah)</t>
  </si>
  <si>
    <t>GP de Miami (Miami)</t>
  </si>
  <si>
    <t>GP da Emília-Romanha (Ímola)</t>
  </si>
  <si>
    <t>GP de Mônaco (Monte Carlo)</t>
  </si>
  <si>
    <t>GP da Espanha (Barcelona)</t>
  </si>
  <si>
    <t xml:space="preserve"> GP do Canadá (Montreal)</t>
  </si>
  <si>
    <t>GP da Áustria (Spielberg)</t>
  </si>
  <si>
    <t>GP da Grã-Bretanha (Silverstone)</t>
  </si>
  <si>
    <t>GP da Bélgica (Spa-Francorchamps)</t>
  </si>
  <si>
    <t>GP da Hungria (Budapeste)</t>
  </si>
  <si>
    <t>GP da Holanda (Zandvoort)</t>
  </si>
  <si>
    <t>GP da Itália (Monza)</t>
  </si>
  <si>
    <t>GP do Azerbaijão (Baku)</t>
  </si>
  <si>
    <t>GP de Singapura (Singapura)</t>
  </si>
  <si>
    <t xml:space="preserve"> GP dos Estados Unidos (Austin)</t>
  </si>
  <si>
    <t>GP do México (Cidade do México)</t>
  </si>
  <si>
    <t>GP de São Paulo (São Paulo)</t>
  </si>
  <si>
    <t>GP de Las Vegas (Las Vegas)</t>
  </si>
  <si>
    <t>GP do Catar (Lusail)</t>
  </si>
  <si>
    <t>GP de Abu Dhabi (Yas Marina)</t>
  </si>
  <si>
    <t>SPRINT da China (Xangai)</t>
  </si>
  <si>
    <t>SPRINT de Miami (Miami)</t>
  </si>
  <si>
    <t>SPRINT da Bélgica (Spa-Francorchamps)</t>
  </si>
  <si>
    <t>SPRINT dos Estados Unidos (Austin)</t>
  </si>
  <si>
    <t>SPRINT de São Paulo (Interlagos)</t>
  </si>
  <si>
    <t>SPRINT do Catar (Lusail)</t>
  </si>
  <si>
    <t>Total de Pontos</t>
  </si>
  <si>
    <t>Oscar Piastri</t>
  </si>
  <si>
    <t>Lando Norris</t>
  </si>
  <si>
    <t>Max Verstappen</t>
  </si>
  <si>
    <t>Yuki Tsunoda</t>
  </si>
  <si>
    <t>George Russell</t>
  </si>
  <si>
    <t>Kimi Antonelli</t>
  </si>
  <si>
    <t>Charles Leclerc</t>
  </si>
  <si>
    <t>Lewis Hamilton</t>
  </si>
  <si>
    <t>Alexander Albon</t>
  </si>
  <si>
    <t>Carlos Sainz</t>
  </si>
  <si>
    <t>Nico Hülkenberg</t>
  </si>
  <si>
    <t>Gabriel Bortoleto</t>
  </si>
  <si>
    <t>Esteban Ocon</t>
  </si>
  <si>
    <t>Oliver Bearman</t>
  </si>
  <si>
    <t>Isack Hadjar</t>
  </si>
  <si>
    <t>Liam Lawson</t>
  </si>
  <si>
    <t>Pierre Gasly</t>
  </si>
  <si>
    <t>Franco Colapinto</t>
  </si>
  <si>
    <t>Lance Stroll</t>
  </si>
  <si>
    <t>Fernando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</si>
</sst>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10" borderId="0" xfId="0" applyFont="1" applyFill="1"/>
    <xf numFmtId="0" fontId="3" fillId="7" borderId="0" xfId="0" applyFont="1" applyFill="1"/>
    <xf numFmtId="0" fontId="2" fillId="11" borderId="0" xfId="0" applyFont="1" applyFill="1"/>
    <xf numFmtId="0" fontId="2" fillId="2" borderId="0" xfId="0" applyFont="1" applyFill="1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A9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</v>
      </c>
    </row>
    <row r="3" spans="1:2">
      <c r="A3">
        <v>2</v>
      </c>
      <c r="B3">
        <v>18</v>
      </c>
    </row>
    <row r="4" spans="1:2">
      <c r="A4">
        <v>3</v>
      </c>
      <c r="B4">
        <v>15</v>
      </c>
    </row>
    <row r="5" spans="1:2">
      <c r="A5">
        <v>4</v>
      </c>
      <c r="B5">
        <v>12</v>
      </c>
    </row>
    <row r="6" spans="1:2">
      <c r="A6">
        <v>5</v>
      </c>
      <c r="B6">
        <v>10</v>
      </c>
    </row>
    <row r="7" spans="1:2">
      <c r="A7">
        <v>6</v>
      </c>
      <c r="B7">
        <v>8</v>
      </c>
    </row>
    <row r="8" spans="1:2">
      <c r="A8">
        <v>7</v>
      </c>
      <c r="B8">
        <v>6</v>
      </c>
    </row>
    <row r="9" spans="1:2">
      <c r="A9">
        <v>8</v>
      </c>
      <c r="B9">
        <v>4</v>
      </c>
    </row>
    <row r="10" spans="1:2">
      <c r="A10">
        <v>9</v>
      </c>
      <c r="B10">
        <v>2</v>
      </c>
    </row>
    <row r="11" spans="1:2">
      <c r="A11">
        <v>10</v>
      </c>
      <c r="B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5761-3BAE-4BB1-9C66-6AE2EDE61FE1}">
  <dimension ref="A1:B9"/>
  <sheetViews>
    <sheetView workbookViewId="0">
      <selection activeCell="F8" sqref="F8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</v>
      </c>
    </row>
    <row r="3" spans="1:2">
      <c r="A3">
        <v>2</v>
      </c>
      <c r="B3">
        <v>7</v>
      </c>
    </row>
    <row r="4" spans="1:2">
      <c r="A4">
        <v>3</v>
      </c>
      <c r="B4">
        <v>6</v>
      </c>
    </row>
    <row r="5" spans="1:2">
      <c r="A5">
        <v>4</v>
      </c>
      <c r="B5">
        <v>5</v>
      </c>
    </row>
    <row r="6" spans="1:2">
      <c r="A6">
        <v>5</v>
      </c>
      <c r="B6">
        <v>4</v>
      </c>
    </row>
    <row r="7" spans="1:2">
      <c r="A7">
        <v>6</v>
      </c>
      <c r="B7">
        <v>3</v>
      </c>
    </row>
    <row r="8" spans="1:2">
      <c r="A8">
        <v>7</v>
      </c>
      <c r="B8">
        <v>2</v>
      </c>
    </row>
    <row r="9" spans="1:2">
      <c r="A9">
        <v>8</v>
      </c>
      <c r="B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1BE3-5D30-43AD-8D85-3A9804608A24}">
  <dimension ref="A1:AF21"/>
  <sheetViews>
    <sheetView tabSelected="1" workbookViewId="0">
      <selection activeCell="N1" sqref="B1:N1"/>
    </sheetView>
  </sheetViews>
  <sheetFormatPr defaultRowHeight="15"/>
  <cols>
    <col min="1" max="1" width="15.42578125" bestFit="1" customWidth="1"/>
    <col min="2" max="2" width="25.42578125" bestFit="1" customWidth="1"/>
    <col min="3" max="3" width="19.28515625" bestFit="1" customWidth="1"/>
    <col min="4" max="4" width="19.7109375" bestFit="1" customWidth="1"/>
    <col min="5" max="5" width="20.5703125" bestFit="1" customWidth="1"/>
    <col min="6" max="6" width="27.28515625" bestFit="1" customWidth="1"/>
    <col min="7" max="7" width="19" bestFit="1" customWidth="1"/>
    <col min="8" max="8" width="27.85546875" bestFit="1" customWidth="1"/>
    <col min="9" max="9" width="26.140625" bestFit="1" customWidth="1"/>
    <col min="10" max="10" width="24.85546875" bestFit="1" customWidth="1"/>
    <col min="11" max="11" width="23.42578125" bestFit="1" customWidth="1"/>
    <col min="12" max="12" width="22.7109375" bestFit="1" customWidth="1"/>
    <col min="13" max="13" width="29.85546875" bestFit="1" customWidth="1"/>
    <col min="14" max="14" width="32.5703125" bestFit="1" customWidth="1"/>
    <col min="15" max="15" width="24.7109375" bestFit="1" customWidth="1"/>
    <col min="16" max="16" width="24.5703125" bestFit="1" customWidth="1"/>
    <col min="17" max="17" width="18.42578125" bestFit="1" customWidth="1"/>
    <col min="18" max="18" width="22" bestFit="1" customWidth="1"/>
    <col min="19" max="19" width="26" bestFit="1" customWidth="1"/>
    <col min="20" max="20" width="29" bestFit="1" customWidth="1"/>
    <col min="21" max="21" width="30.140625" bestFit="1" customWidth="1"/>
    <col min="22" max="22" width="25.85546875" bestFit="1" customWidth="1"/>
    <col min="23" max="23" width="26.42578125" bestFit="1" customWidth="1"/>
    <col min="24" max="24" width="18.85546875" bestFit="1" customWidth="1"/>
    <col min="25" max="25" width="27.7109375" bestFit="1" customWidth="1"/>
    <col min="26" max="26" width="23.85546875" bestFit="1" customWidth="1"/>
    <col min="27" max="27" width="23" bestFit="1" customWidth="1"/>
    <col min="28" max="28" width="36.42578125" bestFit="1" customWidth="1"/>
    <col min="29" max="29" width="32.42578125" bestFit="1" customWidth="1"/>
    <col min="30" max="30" width="29.5703125" bestFit="1" customWidth="1"/>
    <col min="31" max="31" width="22.28515625" bestFit="1" customWidth="1"/>
    <col min="32" max="32" width="14.85546875" bestFit="1" customWidth="1"/>
  </cols>
  <sheetData>
    <row r="1" spans="1:3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1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1" t="s">
        <v>33</v>
      </c>
    </row>
    <row r="2" spans="1:32">
      <c r="A2" s="3" t="s">
        <v>34</v>
      </c>
      <c r="B2">
        <v>9</v>
      </c>
      <c r="C2">
        <v>1</v>
      </c>
      <c r="D2">
        <v>3</v>
      </c>
      <c r="E2">
        <v>1</v>
      </c>
      <c r="F2">
        <v>1</v>
      </c>
      <c r="G2">
        <v>1</v>
      </c>
      <c r="H2">
        <v>3</v>
      </c>
      <c r="I2">
        <v>3</v>
      </c>
      <c r="J2">
        <v>1</v>
      </c>
      <c r="K2">
        <v>4</v>
      </c>
      <c r="L2">
        <v>2</v>
      </c>
      <c r="M2">
        <v>2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2</v>
      </c>
      <c r="AB2">
        <v>2</v>
      </c>
      <c r="AC2">
        <v>0</v>
      </c>
      <c r="AD2">
        <v>0</v>
      </c>
      <c r="AE2">
        <v>0</v>
      </c>
      <c r="AF2" cm="1">
        <f t="array" ref="AF2">SUMPRODUCT(IFERROR(VLOOKUP(B2:Y2,Pontuação!$A$2:$B$11,2,FALSE),0)) + SUMPRODUCT(IFERROR(VLOOKUP(Z2:AE2,PontuaçãoSprint!$A$2:$B$9,2,FALSE),0))</f>
        <v>266</v>
      </c>
    </row>
    <row r="3" spans="1:32">
      <c r="A3" s="3" t="s">
        <v>35</v>
      </c>
      <c r="B3">
        <v>1</v>
      </c>
      <c r="C3">
        <v>2</v>
      </c>
      <c r="D3">
        <v>2</v>
      </c>
      <c r="E3">
        <v>3</v>
      </c>
      <c r="F3">
        <v>4</v>
      </c>
      <c r="G3">
        <v>2</v>
      </c>
      <c r="H3">
        <v>2</v>
      </c>
      <c r="I3">
        <v>1</v>
      </c>
      <c r="J3">
        <v>2</v>
      </c>
      <c r="K3">
        <v>0</v>
      </c>
      <c r="L3">
        <v>1</v>
      </c>
      <c r="M3">
        <v>1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1</v>
      </c>
      <c r="AB3">
        <v>3</v>
      </c>
      <c r="AC3">
        <v>0</v>
      </c>
      <c r="AD3">
        <v>0</v>
      </c>
      <c r="AE3">
        <v>0</v>
      </c>
      <c r="AF3" cm="1">
        <f t="array" ref="AF3">SUMPRODUCT(IFERROR(VLOOKUP(B3:Y3,Pontuação!$A$2:$B$11,2,FALSE),0)) + SUMPRODUCT(IFERROR(VLOOKUP(Z3:AE3,PontuaçãoSprint!$A$2:$B$9,2,FALSE),0))</f>
        <v>250</v>
      </c>
    </row>
    <row r="4" spans="1:32">
      <c r="A4" s="4" t="s">
        <v>36</v>
      </c>
      <c r="B4">
        <v>2</v>
      </c>
      <c r="C4">
        <v>4</v>
      </c>
      <c r="D4">
        <v>1</v>
      </c>
      <c r="E4">
        <v>6</v>
      </c>
      <c r="F4">
        <v>2</v>
      </c>
      <c r="G4">
        <v>4</v>
      </c>
      <c r="H4">
        <v>1</v>
      </c>
      <c r="I4">
        <v>4</v>
      </c>
      <c r="J4">
        <v>10</v>
      </c>
      <c r="K4">
        <v>2</v>
      </c>
      <c r="L4">
        <v>0</v>
      </c>
      <c r="M4">
        <v>5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1</v>
      </c>
      <c r="AC4">
        <v>0</v>
      </c>
      <c r="AD4">
        <v>0</v>
      </c>
      <c r="AE4">
        <v>0</v>
      </c>
      <c r="AF4" cm="1">
        <f t="array" ref="AF4">SUMPRODUCT(IFERROR(VLOOKUP(B4:Y4,Pontuação!$A$2:$B$11,2,FALSE),0)) + SUMPRODUCT(IFERROR(VLOOKUP(Z4:AE4,PontuaçãoSprint!$A$2:$B$9,2,FALSE),0))</f>
        <v>185</v>
      </c>
    </row>
    <row r="5" spans="1:32">
      <c r="A5" s="4" t="s">
        <v>37</v>
      </c>
      <c r="B5">
        <v>0</v>
      </c>
      <c r="C5">
        <v>0</v>
      </c>
      <c r="D5">
        <v>0</v>
      </c>
      <c r="E5">
        <v>9</v>
      </c>
      <c r="F5">
        <v>0</v>
      </c>
      <c r="G5">
        <v>10</v>
      </c>
      <c r="H5">
        <v>10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</v>
      </c>
      <c r="AA5">
        <v>6</v>
      </c>
      <c r="AB5">
        <v>0</v>
      </c>
      <c r="AC5">
        <v>0</v>
      </c>
      <c r="AD5">
        <v>0</v>
      </c>
      <c r="AE5">
        <v>0</v>
      </c>
      <c r="AF5" cm="1">
        <f t="array" ref="AF5">SUMPRODUCT(IFERROR(VLOOKUP(B5:Y5,Pontuação!$A$2:$B$11,2,FALSE),0)) + SUMPRODUCT(IFERROR(VLOOKUP(Z5:AE5,PontuaçãoSprint!$A$2:$B$9,2,FALSE),0))</f>
        <v>10</v>
      </c>
    </row>
    <row r="6" spans="1:32">
      <c r="A6" s="5" t="s">
        <v>38</v>
      </c>
      <c r="B6">
        <v>3</v>
      </c>
      <c r="C6">
        <v>3</v>
      </c>
      <c r="D6">
        <v>5</v>
      </c>
      <c r="E6">
        <v>2</v>
      </c>
      <c r="F6">
        <v>5</v>
      </c>
      <c r="G6">
        <v>3</v>
      </c>
      <c r="H6">
        <v>7</v>
      </c>
      <c r="I6">
        <v>0</v>
      </c>
      <c r="J6">
        <v>4</v>
      </c>
      <c r="K6">
        <v>1</v>
      </c>
      <c r="L6">
        <v>5</v>
      </c>
      <c r="M6">
        <v>10</v>
      </c>
      <c r="N6">
        <v>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4</v>
      </c>
      <c r="AB6">
        <v>0</v>
      </c>
      <c r="AC6">
        <v>0</v>
      </c>
      <c r="AD6">
        <v>0</v>
      </c>
      <c r="AE6">
        <v>0</v>
      </c>
      <c r="AF6" cm="1">
        <f t="array" ref="AF6">SUMPRODUCT(IFERROR(VLOOKUP(B6:Y6,Pontuação!$A$2:$B$11,2,FALSE),0)) + SUMPRODUCT(IFERROR(VLOOKUP(Z6:AE6,PontuaçãoSprint!$A$2:$B$9,2,FALSE),0))</f>
        <v>157</v>
      </c>
    </row>
    <row r="7" spans="1:32">
      <c r="A7" s="5" t="s">
        <v>39</v>
      </c>
      <c r="B7">
        <v>4</v>
      </c>
      <c r="C7">
        <v>6</v>
      </c>
      <c r="D7">
        <v>6</v>
      </c>
      <c r="E7">
        <v>0</v>
      </c>
      <c r="F7">
        <v>6</v>
      </c>
      <c r="G7">
        <v>6</v>
      </c>
      <c r="H7">
        <v>0</v>
      </c>
      <c r="I7">
        <v>0</v>
      </c>
      <c r="J7">
        <v>0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</v>
      </c>
      <c r="AA7">
        <v>7</v>
      </c>
      <c r="AB7">
        <v>0</v>
      </c>
      <c r="AC7">
        <v>0</v>
      </c>
      <c r="AD7">
        <v>0</v>
      </c>
      <c r="AE7">
        <v>0</v>
      </c>
      <c r="AF7" cm="1">
        <f t="array" ref="AF7">SUMPRODUCT(IFERROR(VLOOKUP(B7:Y7,Pontuação!$A$2:$B$11,2,FALSE),0)) + SUMPRODUCT(IFERROR(VLOOKUP(Z7:AE7,PontuaçãoSprint!$A$2:$B$9,2,FALSE),0))</f>
        <v>63</v>
      </c>
    </row>
    <row r="8" spans="1:32">
      <c r="A8" s="6" t="s">
        <v>40</v>
      </c>
      <c r="B8">
        <v>8</v>
      </c>
      <c r="C8">
        <v>0</v>
      </c>
      <c r="D8">
        <v>4</v>
      </c>
      <c r="E8">
        <v>4</v>
      </c>
      <c r="F8">
        <v>3</v>
      </c>
      <c r="G8">
        <v>7</v>
      </c>
      <c r="H8">
        <v>6</v>
      </c>
      <c r="I8">
        <v>2</v>
      </c>
      <c r="J8">
        <v>3</v>
      </c>
      <c r="K8">
        <v>5</v>
      </c>
      <c r="L8">
        <v>3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</v>
      </c>
      <c r="AA8">
        <v>0</v>
      </c>
      <c r="AB8">
        <v>4</v>
      </c>
      <c r="AC8">
        <v>0</v>
      </c>
      <c r="AD8">
        <v>0</v>
      </c>
      <c r="AE8">
        <v>0</v>
      </c>
      <c r="AF8" cm="1">
        <f t="array" ref="AF8">SUMPRODUCT(IFERROR(VLOOKUP(B8:Y8,Pontuação!$A$2:$B$11,2,FALSE),0)) + SUMPRODUCT(IFERROR(VLOOKUP(Z8:AE8,PontuaçãoSprint!$A$2:$B$9,2,FALSE),0))</f>
        <v>139</v>
      </c>
    </row>
    <row r="9" spans="1:32">
      <c r="A9" s="6" t="s">
        <v>41</v>
      </c>
      <c r="B9">
        <v>10</v>
      </c>
      <c r="C9">
        <v>0</v>
      </c>
      <c r="D9">
        <v>7</v>
      </c>
      <c r="E9">
        <v>5</v>
      </c>
      <c r="F9">
        <v>7</v>
      </c>
      <c r="G9">
        <v>8</v>
      </c>
      <c r="H9">
        <v>4</v>
      </c>
      <c r="I9">
        <v>5</v>
      </c>
      <c r="J9">
        <v>6</v>
      </c>
      <c r="K9">
        <v>6</v>
      </c>
      <c r="L9">
        <v>4</v>
      </c>
      <c r="M9">
        <v>4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3</v>
      </c>
      <c r="AB9">
        <v>0</v>
      </c>
      <c r="AC9">
        <v>0</v>
      </c>
      <c r="AD9">
        <v>0</v>
      </c>
      <c r="AE9">
        <v>0</v>
      </c>
      <c r="AF9" cm="1">
        <f t="array" ref="AF9">SUMPRODUCT(IFERROR(VLOOKUP(B9:Y9,Pontuação!$A$2:$B$11,2,FALSE),0)) + SUMPRODUCT(IFERROR(VLOOKUP(Z9:AE9,PontuaçãoSprint!$A$2:$B$9,2,FALSE),0))</f>
        <v>109</v>
      </c>
    </row>
    <row r="10" spans="1:32">
      <c r="A10" s="7" t="s">
        <v>42</v>
      </c>
      <c r="B10">
        <v>5</v>
      </c>
      <c r="C10">
        <v>7</v>
      </c>
      <c r="D10">
        <v>9</v>
      </c>
      <c r="E10">
        <v>0</v>
      </c>
      <c r="F10">
        <v>9</v>
      </c>
      <c r="G10">
        <v>5</v>
      </c>
      <c r="H10">
        <v>5</v>
      </c>
      <c r="I10">
        <v>9</v>
      </c>
      <c r="J10">
        <v>0</v>
      </c>
      <c r="K10">
        <v>0</v>
      </c>
      <c r="L10">
        <v>0</v>
      </c>
      <c r="M10">
        <v>8</v>
      </c>
      <c r="N10">
        <v>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cm="1">
        <f t="array" ref="AF10">SUMPRODUCT(IFERROR(VLOOKUP(B10:Y10,Pontuação!$A$2:$B$11,2,FALSE),0)) + SUMPRODUCT(IFERROR(VLOOKUP(Z10:AE10,PontuaçãoSprint!$A$2:$B$9,2,FALSE),0))</f>
        <v>54</v>
      </c>
    </row>
    <row r="11" spans="1:32">
      <c r="A11" s="7" t="s">
        <v>43</v>
      </c>
      <c r="B11">
        <v>0</v>
      </c>
      <c r="C11">
        <v>10</v>
      </c>
      <c r="D11">
        <v>0</v>
      </c>
      <c r="E11">
        <v>0</v>
      </c>
      <c r="F11">
        <v>8</v>
      </c>
      <c r="G11">
        <v>9</v>
      </c>
      <c r="H11">
        <v>8</v>
      </c>
      <c r="I11">
        <v>10</v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</v>
      </c>
      <c r="AC11">
        <v>0</v>
      </c>
      <c r="AD11">
        <v>0</v>
      </c>
      <c r="AE11">
        <v>0</v>
      </c>
      <c r="AF11" cm="1">
        <f t="array" ref="AF11">SUMPRODUCT(IFERROR(VLOOKUP(B11:Y11,Pontuação!$A$2:$B$11,2,FALSE),0)) + SUMPRODUCT(IFERROR(VLOOKUP(Z11:AE11,PontuaçãoSprint!$A$2:$B$9,2,FALSE),0))</f>
        <v>16</v>
      </c>
    </row>
    <row r="12" spans="1:32">
      <c r="A12" s="8" t="s">
        <v>44</v>
      </c>
      <c r="B12">
        <v>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</v>
      </c>
      <c r="K12">
        <v>8</v>
      </c>
      <c r="L12">
        <v>9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cm="1">
        <f t="array" ref="AF12">SUMPRODUCT(IFERROR(VLOOKUP(B12:Y12,Pontuação!$A$2:$B$11,2,FALSE),0)) + SUMPRODUCT(IFERROR(VLOOKUP(Z12:AE12,PontuaçãoSprint!$A$2:$B$9,2,FALSE),0))</f>
        <v>37</v>
      </c>
    </row>
    <row r="13" spans="1:32">
      <c r="A13" s="8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</v>
      </c>
      <c r="M13">
        <v>0</v>
      </c>
      <c r="N13">
        <v>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cm="1">
        <f t="array" ref="AF13">SUMPRODUCT(IFERROR(VLOOKUP(B13:Y13,Pontuação!$A$2:$B$11,2,FALSE),0)) + SUMPRODUCT(IFERROR(VLOOKUP(Z13:AE13,PontuaçãoSprint!$A$2:$B$9,2,FALSE),0))</f>
        <v>6</v>
      </c>
    </row>
    <row r="14" spans="1:32">
      <c r="A14" s="9" t="s">
        <v>46</v>
      </c>
      <c r="B14">
        <v>0</v>
      </c>
      <c r="C14">
        <v>5</v>
      </c>
      <c r="D14">
        <v>0</v>
      </c>
      <c r="E14">
        <v>8</v>
      </c>
      <c r="F14">
        <v>0</v>
      </c>
      <c r="G14">
        <v>0</v>
      </c>
      <c r="H14">
        <v>0</v>
      </c>
      <c r="I14">
        <v>7</v>
      </c>
      <c r="J14">
        <v>0</v>
      </c>
      <c r="K14">
        <v>9</v>
      </c>
      <c r="L14">
        <v>10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0</v>
      </c>
      <c r="AD14">
        <v>0</v>
      </c>
      <c r="AE14">
        <v>0</v>
      </c>
      <c r="AF14" cm="1">
        <f t="array" ref="AF14">SUMPRODUCT(IFERROR(VLOOKUP(B14:Y14,Pontuação!$A$2:$B$11,2,FALSE),0)) + SUMPRODUCT(IFERROR(VLOOKUP(Z14:AE14,PontuaçãoSprint!$A$2:$B$9,2,FALSE),0))</f>
        <v>27</v>
      </c>
    </row>
    <row r="15" spans="1:32">
      <c r="A15" s="9" t="s">
        <v>47</v>
      </c>
      <c r="B15">
        <v>0</v>
      </c>
      <c r="C15">
        <v>8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7</v>
      </c>
      <c r="AC15">
        <v>0</v>
      </c>
      <c r="AD15">
        <v>0</v>
      </c>
      <c r="AE15">
        <v>0</v>
      </c>
      <c r="AF15" cm="1">
        <f t="array" ref="AF15">SUMPRODUCT(IFERROR(VLOOKUP(B15:Y15,Pontuação!$A$2:$B$11,2,FALSE),0)) + SUMPRODUCT(IFERROR(VLOOKUP(Z15:AE15,PontuaçãoSprint!$A$2:$B$9,2,FALSE),0))</f>
        <v>8</v>
      </c>
    </row>
    <row r="16" spans="1:32">
      <c r="A16" s="10" t="s">
        <v>48</v>
      </c>
      <c r="B16">
        <v>0</v>
      </c>
      <c r="C16">
        <v>0</v>
      </c>
      <c r="D16">
        <v>8</v>
      </c>
      <c r="E16">
        <v>0</v>
      </c>
      <c r="F16">
        <v>10</v>
      </c>
      <c r="G16">
        <v>0</v>
      </c>
      <c r="H16">
        <v>9</v>
      </c>
      <c r="I16">
        <v>6</v>
      </c>
      <c r="J16">
        <v>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8</v>
      </c>
      <c r="AC16">
        <v>0</v>
      </c>
      <c r="AD16">
        <v>0</v>
      </c>
      <c r="AE16">
        <v>0</v>
      </c>
      <c r="AF16" cm="1">
        <f t="array" ref="AF16">SUMPRODUCT(IFERROR(VLOOKUP(B16:Y16,Pontuação!$A$2:$B$11,2,FALSE),0)) + SUMPRODUCT(IFERROR(VLOOKUP(Z16:AE16,PontuaçãoSprint!$A$2:$B$9,2,FALSE),0))</f>
        <v>22</v>
      </c>
    </row>
    <row r="17" spans="1:32">
      <c r="A17" s="10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</v>
      </c>
      <c r="J17">
        <v>0</v>
      </c>
      <c r="K17">
        <v>0</v>
      </c>
      <c r="L17">
        <v>6</v>
      </c>
      <c r="M17">
        <v>0</v>
      </c>
      <c r="N17">
        <v>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cm="1">
        <f t="array" ref="AF17">SUMPRODUCT(IFERROR(VLOOKUP(B17:Y17,Pontuação!$A$2:$B$11,2,FALSE),0)) + SUMPRODUCT(IFERROR(VLOOKUP(Z17:AE17,PontuaçãoSprint!$A$2:$B$9,2,FALSE),0))</f>
        <v>16</v>
      </c>
    </row>
    <row r="18" spans="1:32">
      <c r="A18" s="11" t="s">
        <v>50</v>
      </c>
      <c r="B18">
        <v>0</v>
      </c>
      <c r="C18">
        <v>0</v>
      </c>
      <c r="D18">
        <v>0</v>
      </c>
      <c r="E18">
        <v>7</v>
      </c>
      <c r="F18">
        <v>0</v>
      </c>
      <c r="G18">
        <v>0</v>
      </c>
      <c r="H18">
        <v>0</v>
      </c>
      <c r="I18">
        <v>0</v>
      </c>
      <c r="J18">
        <v>8</v>
      </c>
      <c r="K18">
        <v>0</v>
      </c>
      <c r="L18">
        <v>0</v>
      </c>
      <c r="M18">
        <v>6</v>
      </c>
      <c r="N18">
        <v>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8</v>
      </c>
      <c r="AB18">
        <v>0</v>
      </c>
      <c r="AC18">
        <v>0</v>
      </c>
      <c r="AD18">
        <v>0</v>
      </c>
      <c r="AE18">
        <v>0</v>
      </c>
      <c r="AF18" cm="1">
        <f t="array" ref="AF18">SUMPRODUCT(IFERROR(VLOOKUP(B18:Y18,Pontuação!$A$2:$B$11,2,FALSE),0)) + SUMPRODUCT(IFERROR(VLOOKUP(Z18:AE18,PontuaçãoSprint!$A$2:$B$9,2,FALSE),0))</f>
        <v>20</v>
      </c>
    </row>
    <row r="19" spans="1:32">
      <c r="A19" s="11" t="s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cm="1">
        <f t="array" ref="AF19">SUMPRODUCT(IFERROR(VLOOKUP(B19:Y19,Pontuação!$A$2:$B$11,2,FALSE),0)) + SUMPRODUCT(IFERROR(VLOOKUP(Z19:AE19,PontuaçãoSprint!$A$2:$B$9,2,FALSE),0))</f>
        <v>0</v>
      </c>
    </row>
    <row r="20" spans="1:32">
      <c r="A20" s="12" t="s">
        <v>52</v>
      </c>
      <c r="B20">
        <v>6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0</v>
      </c>
      <c r="AC20">
        <v>0</v>
      </c>
      <c r="AD20">
        <v>0</v>
      </c>
      <c r="AE20">
        <v>0</v>
      </c>
      <c r="AF20" cm="1">
        <f t="array" ref="AF20">SUMPRODUCT(IFERROR(VLOOKUP(B20:Y20,Pontuação!$A$2:$B$11,2,FALSE),0)) + SUMPRODUCT(IFERROR(VLOOKUP(Z20:AE20,PontuaçãoSprint!$A$2:$B$9,2,FALSE),0))</f>
        <v>20</v>
      </c>
    </row>
    <row r="21" spans="1:32">
      <c r="A21" s="12" t="s">
        <v>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9</v>
      </c>
      <c r="K21">
        <v>7</v>
      </c>
      <c r="L21">
        <v>7</v>
      </c>
      <c r="M21">
        <v>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cm="1">
        <f t="array" ref="AF21">SUMPRODUCT(IFERROR(VLOOKUP(B21:Y21,Pontuação!$A$2:$B$11,2,FALSE),0)) + SUMPRODUCT(IFERROR(VLOOKUP(Z21:AE21,PontuaçãoSprint!$A$2:$B$9,2,FALSE),0))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2025-08-01T13:42:04Z</dcterms:created>
  <dcterms:modified xsi:type="dcterms:W3CDTF">2025-08-01T16:29:09Z</dcterms:modified>
  <cp:category/>
  <cp:contentStatus/>
</cp:coreProperties>
</file>